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F60FA9C5-0356-452A-86AC-A53CC174AA56}" xr6:coauthVersionLast="47" xr6:coauthVersionMax="47" xr10:uidLastSave="{00000000-0000-0000-0000-000000000000}"/>
  <bookViews>
    <workbookView xWindow="760" yWindow="760" windowWidth="16710" windowHeight="110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" l="1"/>
  <c r="H26" i="1"/>
  <c r="J25" i="1"/>
  <c r="H25" i="1"/>
  <c r="H24" i="1"/>
  <c r="I13" i="1"/>
  <c r="K13" i="1" s="1"/>
  <c r="H12" i="1"/>
  <c r="H11" i="1"/>
  <c r="H10" i="1"/>
  <c r="G2" i="1"/>
</calcChain>
</file>

<file path=xl/sharedStrings.xml><?xml version="1.0" encoding="utf-8"?>
<sst xmlns="http://schemas.openxmlformats.org/spreadsheetml/2006/main" count="6" uniqueCount="6">
  <si>
    <t>2023</t>
  </si>
  <si>
    <t>մլն ԱՄՆ դոլար</t>
  </si>
  <si>
    <t>2024</t>
  </si>
  <si>
    <t>2025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</si>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</sst>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6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GHEA Grapalat"/>
      <family val="2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43" fontId="4" fillId="0" borderId="0" applyFont="0" applyFill="0" applyBorder="0" applyAlignment="0" applyProtection="0"/>
    <xf numFmtId="0" fontId="4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64" fontId="2" fillId="0" borderId="0" xfId="1" applyNumberFormat="1"/>
    <xf numFmtId="0" fontId="5" fillId="0" borderId="0" xfId="0" applyFont="1"/>
    <xf numFmtId="3" fontId="0" fillId="0" borderId="0" xfId="0" applyNumberFormat="1"/>
    <xf numFmtId="1" fontId="2" fillId="0" borderId="0" xfId="1" applyNumberFormat="1"/>
    <xf numFmtId="1" fontId="0" fillId="0" borderId="0" xfId="0" applyNumberFormat="1"/>
  </cellXfs>
  <cellStyles count="6">
    <cellStyle name="Comma 2" xfId="2" xr:uid="{00000000-0005-0000-0000-000000000000}"/>
    <cellStyle name="Comma 3" xfId="4" xr:uid="{00000000-0005-0000-0000-000001000000}"/>
    <cellStyle name="Normal" xfId="0" builtinId="0"/>
    <cellStyle name="Normal 2" xfId="3" xr:uid="{00000000-0005-0000-0000-000003000000}"/>
    <cellStyle name="Normal 3" xfId="5" xr:uid="{00000000-0005-0000-0000-000004000000}"/>
    <cellStyle name="Normal 4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38" totalsRowShown="0">
  <tableColumns count="6">
    <tableColumn id="1" xr3:uid="{00000000-0010-0000-0000-000001000000}" name="մլն ԱՄՆ դոլար"/>
    <tableColumn id="4" xr3:uid="{00000000-0010-0000-0000-000004000000}" name="2021"/>
    <tableColumn id="5" xr3:uid="{00000000-0010-0000-0000-000005000000}" name="2022"/>
    <tableColumn id="6" xr3:uid="{00000000-0010-0000-0000-000006000000}" name="2023"/>
    <tableColumn id="2" xr3:uid="{00000000-0010-0000-0000-000002000000}" name="2024"/>
    <tableColumn id="3" xr3:uid="{00000000-0010-0000-0000-000003000000}" name="202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D5" sqref="D5"/>
    </sheetView>
  </sheetViews>
  <sheetFormatPr defaultRowHeight="15.5"/>
  <cols>
    <col min="1" max="1" width="13.5" bestFit="1" customWidth="1"/>
    <col min="2" max="2" width="7.08203125" customWidth="1"/>
  </cols>
  <sheetData>
    <row r="1" spans="1:14">
      <c r="A1" s="3" t="s">
        <v>1</v>
      </c>
      <c r="B1" s="1" t="s">
        <v>4</v>
      </c>
      <c r="C1" t="s">
        <v>5</v>
      </c>
      <c r="D1" t="s">
        <v>0</v>
      </c>
      <c r="E1" s="1" t="s">
        <v>2</v>
      </c>
      <c r="F1" t="s">
        <v>3</v>
      </c>
      <c r="J1">
        <v>22.258629119135104</v>
      </c>
      <c r="K1">
        <v>18.604889656963568</v>
      </c>
      <c r="L1">
        <v>55.237607742575427</v>
      </c>
      <c r="M1">
        <v>18.539847771121</v>
      </c>
      <c r="N1">
        <v>17.95</v>
      </c>
    </row>
    <row r="2" spans="1:14">
      <c r="A2">
        <v>1</v>
      </c>
      <c r="B2" s="5">
        <v>114.44669</v>
      </c>
      <c r="C2" s="5">
        <v>127.89519</v>
      </c>
      <c r="D2" s="5">
        <v>386.08492000000001</v>
      </c>
      <c r="E2" s="6">
        <v>360.73761999999999</v>
      </c>
      <c r="F2" s="6">
        <v>377.51236</v>
      </c>
      <c r="G2" s="4">
        <f>+F2/E2*100-100</f>
        <v>4.6501221580383003</v>
      </c>
      <c r="J2">
        <v>27.136639007908901</v>
      </c>
      <c r="K2">
        <v>21.09217380902604</v>
      </c>
      <c r="L2">
        <v>57.108859899627262</v>
      </c>
      <c r="M2">
        <v>18.954810000000002</v>
      </c>
      <c r="N2">
        <v>24.3</v>
      </c>
    </row>
    <row r="3" spans="1:14">
      <c r="A3">
        <v>2</v>
      </c>
      <c r="B3" s="5">
        <v>246.15163000000001</v>
      </c>
      <c r="C3" s="5">
        <v>308.01650999999998</v>
      </c>
      <c r="D3" s="5">
        <v>1100.0307</v>
      </c>
      <c r="E3" s="5">
        <v>771.23727999999994</v>
      </c>
      <c r="F3" s="5">
        <v>845.31312000000003</v>
      </c>
      <c r="G3" s="4"/>
      <c r="J3">
        <v>32.590902402137104</v>
      </c>
      <c r="K3">
        <v>4.5402333922348816</v>
      </c>
      <c r="L3">
        <v>61.31982503435254</v>
      </c>
      <c r="M3">
        <v>19.864889999999999</v>
      </c>
      <c r="N3">
        <v>26.232399999999998</v>
      </c>
    </row>
    <row r="4" spans="1:14">
      <c r="A4">
        <v>3</v>
      </c>
      <c r="B4" s="5">
        <v>405.59461999999996</v>
      </c>
      <c r="C4" s="5">
        <v>560.65485999999999</v>
      </c>
      <c r="D4" s="5">
        <v>1582.46372</v>
      </c>
      <c r="E4" s="5">
        <v>1214.75163</v>
      </c>
      <c r="F4" s="5">
        <v>1271.7909400000001</v>
      </c>
      <c r="G4" s="4"/>
      <c r="J4">
        <v>34.498243291620895</v>
      </c>
      <c r="K4">
        <v>70.026068134230343</v>
      </c>
      <c r="L4">
        <v>51.914982156303175</v>
      </c>
      <c r="M4">
        <v>20.117360000000001</v>
      </c>
      <c r="N4">
        <v>30.377290000000002</v>
      </c>
    </row>
    <row r="5" spans="1:14">
      <c r="A5">
        <v>4</v>
      </c>
      <c r="B5" s="5">
        <v>573.50902999999994</v>
      </c>
      <c r="C5" s="5">
        <v>860.11742000000004</v>
      </c>
      <c r="D5" s="5">
        <v>2045.0791999999999</v>
      </c>
      <c r="E5" s="5">
        <v>1672.4229399999999</v>
      </c>
      <c r="F5" s="5">
        <v>1772.0024900000001</v>
      </c>
      <c r="G5" s="4"/>
      <c r="J5">
        <v>45.823591087215291</v>
      </c>
      <c r="K5">
        <v>133.53120818906143</v>
      </c>
      <c r="L5">
        <v>63.413445498456291</v>
      </c>
      <c r="M5">
        <v>22.652540000000002</v>
      </c>
      <c r="N5">
        <v>33.603739999999995</v>
      </c>
    </row>
    <row r="6" spans="1:14">
      <c r="A6">
        <v>5</v>
      </c>
      <c r="B6" s="5">
        <v>748.36338999999998</v>
      </c>
      <c r="C6" s="5">
        <v>1272.2332000000001</v>
      </c>
      <c r="D6" s="5">
        <v>2480.4994499999998</v>
      </c>
      <c r="E6" s="5">
        <v>2088.4159</v>
      </c>
      <c r="F6" s="5">
        <v>2304.87907</v>
      </c>
      <c r="J6">
        <v>61.331181093734273</v>
      </c>
      <c r="K6">
        <v>191.63317866825903</v>
      </c>
      <c r="L6">
        <v>64.24236268742699</v>
      </c>
      <c r="M6">
        <v>23.977810000000002</v>
      </c>
      <c r="N6">
        <v>37.549999999999997</v>
      </c>
    </row>
    <row r="7" spans="1:14">
      <c r="A7">
        <v>6</v>
      </c>
      <c r="B7" s="5">
        <v>948.16680999999994</v>
      </c>
      <c r="C7" s="5">
        <v>1870.0189300000002</v>
      </c>
      <c r="D7" s="5">
        <v>2925.0858599999997</v>
      </c>
      <c r="E7" s="5">
        <v>2524.88438</v>
      </c>
      <c r="F7" s="5">
        <v>2756.18797</v>
      </c>
      <c r="G7" s="6"/>
      <c r="J7">
        <v>62.465038904445692</v>
      </c>
      <c r="K7">
        <v>161.83574516539704</v>
      </c>
      <c r="L7">
        <v>55.291381468119958</v>
      </c>
      <c r="M7">
        <v>28.112970000000001</v>
      </c>
    </row>
    <row r="8" spans="1:14">
      <c r="A8">
        <v>7</v>
      </c>
      <c r="B8" s="5">
        <v>1146.5097799999999</v>
      </c>
      <c r="C8" s="5">
        <v>2437.7399500000001</v>
      </c>
      <c r="D8" s="5">
        <v>3302.3890299999998</v>
      </c>
      <c r="E8" s="5">
        <v>3010.75758</v>
      </c>
      <c r="F8" s="6">
        <v>3289.3992699999999</v>
      </c>
      <c r="J8">
        <v>58.46738610658565</v>
      </c>
      <c r="K8">
        <v>132.0046984471154</v>
      </c>
      <c r="L8">
        <v>41.192809999999994</v>
      </c>
      <c r="M8">
        <v>28.56249</v>
      </c>
    </row>
    <row r="9" spans="1:14">
      <c r="A9">
        <v>8</v>
      </c>
      <c r="B9" s="5">
        <v>1340.1068899999998</v>
      </c>
      <c r="C9" s="5">
        <v>2910.0225100000002</v>
      </c>
      <c r="D9" s="5">
        <v>3819.8720799999996</v>
      </c>
      <c r="E9" s="5">
        <v>3562.0624499999999</v>
      </c>
      <c r="F9" s="5">
        <v>3744.9788399999998</v>
      </c>
      <c r="G9" s="2"/>
      <c r="H9">
        <v>507.44058999999999</v>
      </c>
      <c r="J9">
        <v>53.361684577542803</v>
      </c>
      <c r="K9">
        <v>135.78244113833421</v>
      </c>
      <c r="L9">
        <v>31.224873255430097</v>
      </c>
      <c r="M9">
        <v>25.417750000000002</v>
      </c>
    </row>
    <row r="10" spans="1:14">
      <c r="A10">
        <v>9</v>
      </c>
      <c r="B10" s="5">
        <v>1536.8061199999997</v>
      </c>
      <c r="C10" s="5">
        <v>3461.5748800000001</v>
      </c>
      <c r="D10" s="5">
        <v>4264.3011299999998</v>
      </c>
      <c r="E10" s="5">
        <v>3963.8913199999997</v>
      </c>
      <c r="F10" s="5">
        <v>4252.4194299999999</v>
      </c>
      <c r="G10" s="2"/>
      <c r="H10">
        <f>+Table1[[#This Row],[2025]]/Table1[[#This Row],[2024]]*100-100</f>
        <v>7.2789107144340335</v>
      </c>
      <c r="J10">
        <v>48.484418310650028</v>
      </c>
      <c r="K10">
        <v>121.97239612524015</v>
      </c>
      <c r="L10">
        <v>31.392698232123902</v>
      </c>
      <c r="M10">
        <v>18.033919999999998</v>
      </c>
    </row>
    <row r="11" spans="1:14">
      <c r="A11">
        <v>10</v>
      </c>
      <c r="B11" s="5">
        <v>1722.2418399999997</v>
      </c>
      <c r="C11" s="5">
        <v>4079.6256600000002</v>
      </c>
      <c r="D11" s="5">
        <v>4807.5658299999996</v>
      </c>
      <c r="E11" s="5">
        <v>4520.7317199999998</v>
      </c>
      <c r="F11" s="5">
        <v>4761.7242299999998</v>
      </c>
      <c r="G11" s="2"/>
      <c r="H11">
        <f>+Table1[[#This Row],[2025]]/Table1[[#This Row],[2024]]*100-100</f>
        <v>5.3308297179820272</v>
      </c>
      <c r="J11">
        <v>40.060175674677794</v>
      </c>
      <c r="K11">
        <v>112.36622493463892</v>
      </c>
      <c r="L11">
        <v>22.86918</v>
      </c>
      <c r="M11">
        <v>16.909939999999999</v>
      </c>
    </row>
    <row r="12" spans="1:14">
      <c r="A12">
        <v>11</v>
      </c>
      <c r="B12" s="5">
        <v>1898.5119399999996</v>
      </c>
      <c r="C12" s="5">
        <v>4599.4790700000003</v>
      </c>
      <c r="D12" s="5">
        <v>5219.2557899999993</v>
      </c>
      <c r="E12" s="5">
        <v>4976.8680399999994</v>
      </c>
      <c r="F12" s="5">
        <v>5260.1871499999997</v>
      </c>
      <c r="G12" s="2"/>
      <c r="H12">
        <f>+Table1[[#This Row],[2025]]/Table1[[#This Row],[2024]]*100-100</f>
        <v>5.6927189494058013</v>
      </c>
      <c r="J12">
        <v>44.68950098937205</v>
      </c>
      <c r="K12">
        <v>103.31251375155603</v>
      </c>
      <c r="L12">
        <v>30.8</v>
      </c>
      <c r="M12">
        <v>29.116409999999998</v>
      </c>
    </row>
    <row r="13" spans="1:14">
      <c r="A13">
        <v>12</v>
      </c>
      <c r="B13" s="5">
        <v>2108.9363499999995</v>
      </c>
      <c r="C13" s="5">
        <v>5190.4108200000001</v>
      </c>
      <c r="D13" s="5">
        <v>5695.5266199999996</v>
      </c>
      <c r="E13" s="5">
        <v>5837.0960299999997</v>
      </c>
      <c r="F13" s="5">
        <v>5979.8809499999998</v>
      </c>
      <c r="G13" s="2"/>
      <c r="I13">
        <f>+Table1[[#This Row],[2025]]/Table1[[#This Row],[2024]]*100-100</f>
        <v>2.4461636277037542</v>
      </c>
      <c r="K13">
        <f>+I13/1000</f>
        <v>2.4461636277037543E-3</v>
      </c>
    </row>
    <row r="14" spans="1:14">
      <c r="B14" s="5"/>
      <c r="C14" s="5"/>
      <c r="D14" s="5"/>
      <c r="E14" s="5"/>
      <c r="F14" s="5"/>
      <c r="G14" s="2"/>
    </row>
    <row r="16" spans="1:14">
      <c r="A16">
        <v>1</v>
      </c>
      <c r="B16" s="6">
        <v>82.138050000000007</v>
      </c>
      <c r="C16" s="6">
        <v>87.438320000000004</v>
      </c>
      <c r="D16" s="6">
        <v>215.89291</v>
      </c>
      <c r="E16" s="6">
        <v>327.91502000000003</v>
      </c>
      <c r="F16" s="6">
        <v>358.80260999999996</v>
      </c>
    </row>
    <row r="17" spans="1:10">
      <c r="A17">
        <v>2</v>
      </c>
      <c r="B17" s="6">
        <v>182.9272</v>
      </c>
      <c r="C17" s="6">
        <v>211.4573</v>
      </c>
      <c r="D17" s="6">
        <v>597.71313999999995</v>
      </c>
      <c r="E17" s="6">
        <v>617.37231999999995</v>
      </c>
      <c r="F17" s="6">
        <v>757.78130999999996</v>
      </c>
    </row>
    <row r="18" spans="1:10">
      <c r="A18">
        <v>3</v>
      </c>
      <c r="B18" s="6">
        <v>276.51047</v>
      </c>
      <c r="C18" s="6">
        <v>370.36144000000002</v>
      </c>
      <c r="D18" s="6">
        <v>1029.2745599999998</v>
      </c>
      <c r="E18" s="6">
        <v>936.19201999999996</v>
      </c>
      <c r="F18" s="6">
        <v>1128.10277</v>
      </c>
    </row>
    <row r="19" spans="1:10">
      <c r="A19">
        <v>4</v>
      </c>
      <c r="B19" s="6">
        <v>370.31927999999999</v>
      </c>
      <c r="C19" s="6">
        <v>503.23498000000006</v>
      </c>
      <c r="D19" s="6">
        <v>1325.3346599999998</v>
      </c>
      <c r="E19" s="6">
        <v>1344.9022199999999</v>
      </c>
      <c r="F19" s="6">
        <v>1498.59655</v>
      </c>
    </row>
    <row r="20" spans="1:10">
      <c r="A20">
        <v>5</v>
      </c>
      <c r="B20" s="6">
        <v>466.90246999999999</v>
      </c>
      <c r="C20" s="6">
        <v>646.25303000000008</v>
      </c>
      <c r="D20" s="6">
        <v>1713.2006699999997</v>
      </c>
      <c r="E20" s="6">
        <v>1639.04889</v>
      </c>
      <c r="F20" s="6">
        <v>1793.15696</v>
      </c>
    </row>
    <row r="21" spans="1:10">
      <c r="A21">
        <v>6</v>
      </c>
      <c r="B21" s="6">
        <v>565.28467000000001</v>
      </c>
      <c r="C21" s="6">
        <v>876.09448000000009</v>
      </c>
      <c r="D21" s="6">
        <v>2027.4020599999997</v>
      </c>
      <c r="E21" s="6">
        <v>1929.4761900000001</v>
      </c>
      <c r="F21" s="6">
        <v>2168.5709400000001</v>
      </c>
    </row>
    <row r="22" spans="1:10">
      <c r="A22">
        <v>7</v>
      </c>
      <c r="B22" s="6">
        <v>662.91847000000007</v>
      </c>
      <c r="C22" s="6">
        <v>1308.41968</v>
      </c>
      <c r="D22" s="6">
        <v>2271.3568399999995</v>
      </c>
      <c r="E22" s="6">
        <v>2252.0687800000001</v>
      </c>
      <c r="F22" s="6">
        <v>2572.7803199999998</v>
      </c>
    </row>
    <row r="23" spans="1:10">
      <c r="A23">
        <v>8</v>
      </c>
      <c r="B23" s="6">
        <v>763.77853000000005</v>
      </c>
      <c r="C23" s="6">
        <v>1489.5098699999999</v>
      </c>
      <c r="D23" s="6">
        <v>2586.4603799999995</v>
      </c>
      <c r="E23" s="6">
        <v>2771.3185199999998</v>
      </c>
      <c r="F23" s="6">
        <v>2855.65364</v>
      </c>
      <c r="H23">
        <v>371.3236</v>
      </c>
    </row>
    <row r="24" spans="1:10">
      <c r="A24">
        <v>9</v>
      </c>
      <c r="B24" s="6">
        <v>866.59451000000001</v>
      </c>
      <c r="C24" s="6">
        <v>1732.0378099999998</v>
      </c>
      <c r="D24" s="6">
        <v>2933.9167899999993</v>
      </c>
      <c r="E24" s="6">
        <v>3075.9111399999997</v>
      </c>
      <c r="F24" s="6">
        <v>3226.9772400000002</v>
      </c>
      <c r="H24">
        <f>+Table1[[#This Row],[2025]]/Table1[[#This Row],[2024]]*100-100</f>
        <v>4.9112634638723875</v>
      </c>
    </row>
    <row r="25" spans="1:10">
      <c r="A25">
        <v>10</v>
      </c>
      <c r="B25" s="6">
        <v>979.25369000000001</v>
      </c>
      <c r="C25" s="6">
        <v>2023.1652999999997</v>
      </c>
      <c r="D25" s="6">
        <v>3351.7974599999993</v>
      </c>
      <c r="E25" s="6">
        <v>3472.7345699999996</v>
      </c>
      <c r="F25" s="6">
        <v>3614.1658400000001</v>
      </c>
      <c r="H25">
        <f>+Table1[[#This Row],[2025]]/Table1[[#This Row],[2024]]*100-100</f>
        <v>4.0726196358854168</v>
      </c>
      <c r="J25" s="6">
        <f>+F11-Table1[[#This Row],[2025]]</f>
        <v>1147.5583899999997</v>
      </c>
    </row>
    <row r="26" spans="1:10">
      <c r="A26">
        <v>11</v>
      </c>
      <c r="B26" s="6">
        <v>1092.48452</v>
      </c>
      <c r="C26" s="6">
        <v>2317.6973499999995</v>
      </c>
      <c r="D26" s="6">
        <v>3723.8626799999993</v>
      </c>
      <c r="E26" s="6">
        <v>3852.4486199999997</v>
      </c>
      <c r="F26" s="6">
        <v>3935.7162200000002</v>
      </c>
      <c r="H26">
        <f>+Table1[[#This Row],[2025]]/Table1[[#This Row],[2024]]*100-100</f>
        <v>2.1614201307635028</v>
      </c>
    </row>
    <row r="27" spans="1:10">
      <c r="A27">
        <v>12</v>
      </c>
      <c r="B27" s="6">
        <v>1225.6218199999998</v>
      </c>
      <c r="C27" s="6">
        <v>2606.7666099999997</v>
      </c>
      <c r="D27" s="6">
        <v>4040.8139599999995</v>
      </c>
      <c r="E27" s="6">
        <v>4327.7219299999997</v>
      </c>
      <c r="F27" s="6">
        <v>4340.35214</v>
      </c>
      <c r="I27">
        <f>+Table1[[#This Row],[2025]]/Table1[[#This Row],[2024]]*100-100</f>
        <v>0.29184430525555172</v>
      </c>
    </row>
  </sheetData>
  <phoneticPr fontId="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Babken Pashinyan</dc:creator>
  <cp:lastModifiedBy>Armen Zakaryan</cp:lastModifiedBy>
  <dcterms:created xsi:type="dcterms:W3CDTF">2023-03-29T14:40:47Z</dcterms:created>
  <dcterms:modified xsi:type="dcterms:W3CDTF">2026-03-19T20:50:49Z</dcterms:modified>
</cp:coreProperties>
</file>