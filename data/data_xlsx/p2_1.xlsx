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548FAA10-6AEF-4135-91A8-C9C0EDF21BFF}" xr6:coauthVersionLast="47" xr6:coauthVersionMax="47" xr10:uidLastSave="{00000000-0000-0000-0000-000000000000}"/>
  <bookViews>
    <workbookView xWindow="380" yWindow="380" windowWidth="19460" windowHeight="110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1" l="1"/>
  <c r="C57" i="1" s="1"/>
  <c r="I6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<sst xmlns="http://schemas.openxmlformats.org/spreadsheetml/2006/main" count="14" uniqueCount="14">
  <si>
    <t>Ընդհանուր</t>
  </si>
  <si>
    <t xml:space="preserve">ՌԴ </t>
  </si>
  <si>
    <t>Այլ երկրներ</t>
  </si>
  <si>
    <t>Column1</t>
  </si>
  <si>
    <t>2018</t>
  </si>
  <si>
    <t>2019</t>
  </si>
  <si>
    <t>2020</t>
  </si>
  <si>
    <t>2021</t>
  </si>
  <si>
    <t>2022</t>
  </si>
  <si>
    <t>2023</t>
  </si>
  <si>
    <t>2024</t>
  </si>
  <si>
    <t>Չինաստան</t>
  </si>
  <si>
    <t>Հնդկաստան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</si>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</sst>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2" borderId="0" xfId="0" applyNumberFormat="1" applyFill="1"/>
    <xf numFmtId="2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</cellXfs>
  <cellStyles count="1">
    <cellStyle name="Normal" xfId="0" builtinId="0"/>
  </cellStyles>
  <dxfs count="11">
    <dxf>
      <numFmt numFmtId="1" formatCode="0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numFmt numFmtId="1" formatCode="0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6" totalsRowShown="0" headerRowDxfId="10" dataDxfId="9">
  <tableColumns count="9">
    <tableColumn id="1" xr3:uid="{00000000-0010-0000-0000-000001000000}" name="Column1" dataDxfId="8"/>
    <tableColumn id="2" xr3:uid="{00000000-0010-0000-0000-000002000000}" name="2018" dataDxfId="7"/>
    <tableColumn id="3" xr3:uid="{00000000-0010-0000-0000-000003000000}" name="2019" dataDxfId="6"/>
    <tableColumn id="4" xr3:uid="{00000000-0010-0000-0000-000004000000}" name="2020" dataDxfId="5"/>
    <tableColumn id="5" xr3:uid="{00000000-0010-0000-0000-000005000000}" name="2021" dataDxfId="4"/>
    <tableColumn id="6" xr3:uid="{00000000-0010-0000-0000-000006000000}" name="2022" dataDxfId="3"/>
    <tableColumn id="7" xr3:uid="{00000000-0010-0000-0000-000007000000}" name="2023" dataDxfId="2"/>
    <tableColumn id="8" xr3:uid="{00000000-0010-0000-0000-000008000000}" name="2024" dataDxfId="1"/>
    <tableColumn id="9" xr3:uid="{00000000-0010-0000-0000-000009000000}" name="202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workbookViewId="0">
      <selection activeCell="H6" sqref="H6"/>
    </sheetView>
  </sheetViews>
  <sheetFormatPr defaultColWidth="9.1796875" defaultRowHeight="14.5" x14ac:dyDescent="0.35"/>
  <cols>
    <col min="1" max="1" width="20" style="1" customWidth="1"/>
    <col min="2" max="2" width="9.26953125" style="1" hidden="1" customWidth="1"/>
    <col min="3" max="3" width="9.26953125" style="1" customWidth="1"/>
    <col min="4" max="4" width="9.26953125" style="1" hidden="1" customWidth="1"/>
    <col min="5" max="6" width="8.81640625" style="1" hidden="1" customWidth="1"/>
    <col min="7" max="8" width="9.1796875" style="1"/>
    <col min="9" max="14" width="9.1796875" style="1" customWidth="1"/>
    <col min="15" max="16384" width="9.1796875" style="1"/>
  </cols>
  <sheetData>
    <row r="1" spans="1:18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13</v>
      </c>
    </row>
    <row r="2" spans="1:18" x14ac:dyDescent="0.35">
      <c r="A2" s="1" t="s">
        <v>0</v>
      </c>
      <c r="B2" s="5">
        <v>346.45800000000003</v>
      </c>
      <c r="C2" s="5">
        <v>1894.377</v>
      </c>
      <c r="D2" s="5">
        <v>360.33800000000002</v>
      </c>
      <c r="E2" s="5">
        <v>875.77200000000005</v>
      </c>
      <c r="F2" s="5">
        <v>1665.6579999999999</v>
      </c>
      <c r="G2" s="5">
        <v>2316.21</v>
      </c>
      <c r="H2" s="5">
        <v>2208.1790000000001</v>
      </c>
      <c r="I2" s="5">
        <v>2263.6419999999998</v>
      </c>
      <c r="J2" s="2"/>
    </row>
    <row r="3" spans="1:18" x14ac:dyDescent="0.35">
      <c r="A3" s="1" t="s">
        <v>1</v>
      </c>
      <c r="B3" s="5">
        <v>93.19720199999999</v>
      </c>
      <c r="C3" s="5">
        <v>430.02300000000002</v>
      </c>
      <c r="D3" s="5">
        <v>137.602</v>
      </c>
      <c r="E3" s="5">
        <v>351.80099999999999</v>
      </c>
      <c r="F3" s="5">
        <v>790.39700000000005</v>
      </c>
      <c r="G3" s="5">
        <v>1137.0050000000001</v>
      </c>
      <c r="H3" s="5">
        <v>937.82299999999998</v>
      </c>
      <c r="I3" s="5">
        <v>921.70399999999995</v>
      </c>
      <c r="J3" s="2"/>
    </row>
    <row r="4" spans="1:18" hidden="1" x14ac:dyDescent="0.35">
      <c r="A4" s="1" t="s">
        <v>11</v>
      </c>
      <c r="B4" s="5"/>
      <c r="C4" s="5"/>
      <c r="D4" s="5"/>
      <c r="E4" s="5"/>
      <c r="F4" s="5"/>
      <c r="G4" s="5">
        <v>640.93226000000004</v>
      </c>
      <c r="H4" s="5"/>
      <c r="I4" s="5"/>
      <c r="J4" s="2"/>
      <c r="O4" s="3"/>
    </row>
    <row r="5" spans="1:18" hidden="1" x14ac:dyDescent="0.35">
      <c r="A5" s="1" t="s">
        <v>12</v>
      </c>
      <c r="B5" s="5"/>
      <c r="C5" s="5"/>
      <c r="D5" s="5"/>
      <c r="E5" s="5"/>
      <c r="F5" s="5"/>
      <c r="G5" s="5">
        <v>609.24900000000002</v>
      </c>
      <c r="H5" s="5"/>
      <c r="I5" s="5"/>
      <c r="J5" s="2"/>
      <c r="O5" s="3"/>
    </row>
    <row r="6" spans="1:18" x14ac:dyDescent="0.35">
      <c r="A6" s="1" t="s">
        <v>2</v>
      </c>
      <c r="B6" s="5">
        <f>+B2-B3</f>
        <v>253.26079800000002</v>
      </c>
      <c r="C6" s="5">
        <f>+C2-C3</f>
        <v>1464.3539999999998</v>
      </c>
      <c r="D6" s="5">
        <f t="shared" ref="D6:I6" si="0">+D2-D3</f>
        <v>222.73600000000002</v>
      </c>
      <c r="E6" s="5">
        <f t="shared" si="0"/>
        <v>523.971</v>
      </c>
      <c r="F6" s="5">
        <f t="shared" si="0"/>
        <v>875.26099999999985</v>
      </c>
      <c r="G6" s="5">
        <f t="shared" si="0"/>
        <v>1179.2049999999999</v>
      </c>
      <c r="H6" s="5">
        <f t="shared" si="0"/>
        <v>1270.3560000000002</v>
      </c>
      <c r="I6" s="5">
        <f t="shared" si="0"/>
        <v>1341.9379999999999</v>
      </c>
      <c r="J6" s="2"/>
      <c r="O6" s="3"/>
    </row>
    <row r="7" spans="1:18" x14ac:dyDescent="0.35">
      <c r="O7" s="3"/>
    </row>
    <row r="8" spans="1:18" x14ac:dyDescent="0.35">
      <c r="R8" s="2"/>
    </row>
    <row r="9" spans="1:18" x14ac:dyDescent="0.35">
      <c r="B9" s="4"/>
    </row>
    <row r="11" spans="1:18" x14ac:dyDescent="0.35">
      <c r="B11" s="4"/>
    </row>
    <row r="19" spans="7:19" x14ac:dyDescent="0.35">
      <c r="G19" s="2"/>
      <c r="H19" s="2"/>
      <c r="O19" s="2"/>
      <c r="P19" s="2"/>
      <c r="Q19" s="2"/>
      <c r="R19" s="2"/>
      <c r="S19" s="2"/>
    </row>
    <row r="20" spans="7:19" x14ac:dyDescent="0.35">
      <c r="O20" s="2"/>
      <c r="P20" s="2"/>
      <c r="Q20" s="2"/>
      <c r="R20" s="2"/>
      <c r="S20" s="2"/>
    </row>
    <row r="44" spans="3:3" x14ac:dyDescent="0.35">
      <c r="C44" s="1">
        <v>119548</v>
      </c>
    </row>
    <row r="45" spans="3:3" x14ac:dyDescent="0.35">
      <c r="C45" s="1">
        <v>95837</v>
      </c>
    </row>
    <row r="46" spans="3:3" x14ac:dyDescent="0.35">
      <c r="C46" s="1">
        <v>117765</v>
      </c>
    </row>
    <row r="47" spans="3:3" x14ac:dyDescent="0.35">
      <c r="C47" s="1">
        <v>137596</v>
      </c>
    </row>
    <row r="48" spans="3:3" x14ac:dyDescent="0.35">
      <c r="C48" s="1">
        <v>146783</v>
      </c>
    </row>
    <row r="49" spans="3:3" x14ac:dyDescent="0.35">
      <c r="C49" s="1">
        <v>153901</v>
      </c>
    </row>
    <row r="50" spans="3:3" x14ac:dyDescent="0.35">
      <c r="C50" s="1">
        <v>202322</v>
      </c>
    </row>
    <row r="51" spans="3:3" x14ac:dyDescent="0.35">
      <c r="C51" s="1">
        <v>288260</v>
      </c>
    </row>
    <row r="52" spans="3:3" x14ac:dyDescent="0.35">
      <c r="C52" s="1">
        <v>221507</v>
      </c>
    </row>
    <row r="53" spans="3:3" x14ac:dyDescent="0.35">
      <c r="C53" s="1">
        <v>191772</v>
      </c>
    </row>
    <row r="54" spans="3:3" x14ac:dyDescent="0.35">
      <c r="C54" s="1">
        <v>140376</v>
      </c>
    </row>
    <row r="55" spans="3:3" x14ac:dyDescent="0.35">
      <c r="C55" s="1">
        <v>110685</v>
      </c>
    </row>
    <row r="56" spans="3:3" x14ac:dyDescent="0.35">
      <c r="C56" s="1">
        <f>SUM(C44:C55)</f>
        <v>1926352</v>
      </c>
    </row>
    <row r="57" spans="3:3" x14ac:dyDescent="0.35">
      <c r="C57" s="1">
        <f>C56/1000</f>
        <v>1926.3520000000001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Armen Zakaryan</cp:lastModifiedBy>
  <dcterms:created xsi:type="dcterms:W3CDTF">2023-04-08T16:24:49Z</dcterms:created>
  <dcterms:modified xsi:type="dcterms:W3CDTF">2026-03-19T20:50:19Z</dcterms:modified>
</cp:coreProperties>
</file>