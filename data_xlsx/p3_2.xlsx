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xr:revisionPtr revIDLastSave="0" documentId="8_{C7D5BBC7-6D4F-4781-B3FC-19B720B52A8C}" xr6:coauthVersionLast="47" xr6:coauthVersionMax="47" xr10:uidLastSave="{00000000-0000-0000-0000-000000000000}"/>
  <bookViews>
    <workbookView xWindow="1140" yWindow="0" windowWidth="19300" windowHeight="1106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3" i="1" l="1"/>
  <c r="H12" i="1"/>
  <c r="H11" i="1"/>
  <c r="H10" i="1"/>
</calcChain>
</file>

<file path=xl/sharedStrings.xml><?xml version="1.0" encoding="utf-8"?>
<sst xmlns="http://schemas.openxmlformats.org/spreadsheetml/2006/main" count="6" uniqueCount="6">
  <si>
    <t>2021</t>
  </si>
  <si>
    <t>2022</t>
  </si>
  <si>
    <t>2023</t>
  </si>
  <si>
    <t>մլն ԱՄՆ դոլար</t>
  </si>
  <si>
    <t>2024</t>
  </si>
  <si>
    <t>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</si>
</sst>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6"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GHEA Grapalat"/>
      <family val="2"/>
    </font>
    <font>
      <i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/>
    <xf numFmtId="0" fontId="2" fillId="0" borderId="0"/>
    <xf numFmtId="43" fontId="2" fillId="0" borderId="0" applyFont="0" applyFill="0" applyBorder="0" applyAlignment="0" applyProtection="0"/>
    <xf numFmtId="0" fontId="3" fillId="0" borderId="0"/>
    <xf numFmtId="43" fontId="4" fillId="0" borderId="0" applyFont="0" applyFill="0" applyBorder="0" applyAlignment="0" applyProtection="0"/>
    <xf numFmtId="0" fontId="4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0" fontId="5" fillId="0" borderId="0" xfId="0" applyFont="1"/>
    <xf numFmtId="1" fontId="2" fillId="0" borderId="0" xfId="1" applyNumberFormat="1"/>
    <xf numFmtId="1" fontId="0" fillId="0" borderId="0" xfId="0" applyNumberFormat="1"/>
  </cellXfs>
  <cellStyles count="6">
    <cellStyle name="Comma 2" xfId="2" xr:uid="{00000000-0005-0000-0000-000000000000}"/>
    <cellStyle name="Comma 3" xfId="4" xr:uid="{00000000-0005-0000-0000-000001000000}"/>
    <cellStyle name="Normal" xfId="0" builtinId="0"/>
    <cellStyle name="Normal 2" xfId="3" xr:uid="{00000000-0005-0000-0000-000003000000}"/>
    <cellStyle name="Normal 3" xfId="5" xr:uid="{00000000-0005-0000-0000-000004000000}"/>
    <cellStyle name="Normal 4" xfId="1" xr:uid="{00000000-0005-0000-0000-000005000000}"/>
  </cellStyles>
  <dxfs count="5"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le13" displayName="Table13" ref="A1:F13" totalsRowShown="0">
  <tableColumns count="6">
    <tableColumn id="1" xr3:uid="{00000000-0010-0000-0000-000001000000}" name="մլն ԱՄՆ դոլար"/>
    <tableColumn id="2" xr3:uid="{00000000-0010-0000-0000-000002000000}" name="2021" dataDxfId="4"/>
    <tableColumn id="3" xr3:uid="{00000000-0010-0000-0000-000003000000}" name="2022" dataDxfId="3"/>
    <tableColumn id="4" xr3:uid="{00000000-0010-0000-0000-000004000000}" name="2023" dataDxfId="2"/>
    <tableColumn id="5" xr3:uid="{00000000-0010-0000-0000-000005000000}" name="2024" dataDxfId="1"/>
    <tableColumn id="6" xr3:uid="{00000000-0010-0000-0000-000006000000}" name="2025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7"/>
  <sheetViews>
    <sheetView tabSelected="1" workbookViewId="0">
      <selection activeCell="H14" sqref="H14"/>
    </sheetView>
  </sheetViews>
  <sheetFormatPr defaultRowHeight="15.5"/>
  <cols>
    <col min="1" max="1" width="13.5" bestFit="1" customWidth="1"/>
    <col min="2" max="3" width="7.08203125" customWidth="1"/>
    <col min="4" max="4" width="12.5" bestFit="1" customWidth="1"/>
  </cols>
  <sheetData>
    <row r="1" spans="1:14">
      <c r="A1" s="2" t="s">
        <v>3</v>
      </c>
      <c r="B1" s="1" t="s">
        <v>0</v>
      </c>
      <c r="C1" t="s">
        <v>1</v>
      </c>
      <c r="D1" t="s">
        <v>2</v>
      </c>
      <c r="E1" t="s">
        <v>4</v>
      </c>
      <c r="F1" t="s">
        <v>5</v>
      </c>
    </row>
    <row r="2" spans="1:14">
      <c r="A2">
        <v>1</v>
      </c>
      <c r="B2" s="3">
        <v>32.308639999999997</v>
      </c>
      <c r="C2" s="3">
        <v>40.456869999999995</v>
      </c>
      <c r="D2" s="3">
        <v>170.19201000000001</v>
      </c>
      <c r="E2" s="4">
        <v>32.822599999999966</v>
      </c>
      <c r="F2" s="4">
        <v>18.70975</v>
      </c>
      <c r="J2">
        <v>40.328449285545986</v>
      </c>
      <c r="K2">
        <v>37.434551810156535</v>
      </c>
      <c r="L2">
        <v>18.321117799160167</v>
      </c>
      <c r="M2">
        <v>10.919938820797993</v>
      </c>
      <c r="N2">
        <v>16.5</v>
      </c>
    </row>
    <row r="3" spans="1:14">
      <c r="A3">
        <v>2</v>
      </c>
      <c r="B3" s="3">
        <v>63.224429999999998</v>
      </c>
      <c r="C3" s="3">
        <v>96.559209999999993</v>
      </c>
      <c r="D3" s="3">
        <v>502.31756000000007</v>
      </c>
      <c r="E3" s="3">
        <v>153.86495999999994</v>
      </c>
      <c r="F3" s="3">
        <v>87.531809999999993</v>
      </c>
      <c r="J3">
        <v>42.164404998126088</v>
      </c>
      <c r="K3">
        <v>41.261398051035229</v>
      </c>
      <c r="L3">
        <v>23.292069421918828</v>
      </c>
      <c r="M3">
        <v>18.515620000000013</v>
      </c>
      <c r="N3">
        <v>20.3</v>
      </c>
    </row>
    <row r="4" spans="1:14">
      <c r="A4">
        <v>3</v>
      </c>
      <c r="B4" s="3">
        <v>129.08414999999997</v>
      </c>
      <c r="C4" s="3">
        <v>190.29341999999997</v>
      </c>
      <c r="D4" s="3">
        <v>553.18916000000013</v>
      </c>
      <c r="E4" s="3">
        <v>278.55960999999991</v>
      </c>
      <c r="F4" s="3">
        <v>143.68816999999999</v>
      </c>
      <c r="J4">
        <v>54.33969551196391</v>
      </c>
      <c r="K4">
        <v>39.112295878497861</v>
      </c>
      <c r="L4">
        <v>25.969091739418218</v>
      </c>
      <c r="M4">
        <v>22.23282</v>
      </c>
      <c r="N4">
        <v>25.799430000000001</v>
      </c>
    </row>
    <row r="5" spans="1:14">
      <c r="A5">
        <v>4</v>
      </c>
      <c r="B5" s="3">
        <v>203.18974999999998</v>
      </c>
      <c r="C5" s="3">
        <v>356.88243999999997</v>
      </c>
      <c r="D5" s="3">
        <v>719.74454000000014</v>
      </c>
      <c r="E5" s="3">
        <v>327.52071999999993</v>
      </c>
      <c r="F5" s="3">
        <v>273.40594999999996</v>
      </c>
      <c r="J5">
        <v>53.947409402344874</v>
      </c>
      <c r="K5">
        <v>40.663613682132677</v>
      </c>
      <c r="L5">
        <v>18.011782310436757</v>
      </c>
      <c r="M5">
        <v>25.889150000000001</v>
      </c>
      <c r="N5">
        <v>30.796760000000003</v>
      </c>
    </row>
    <row r="6" spans="1:14">
      <c r="A6">
        <v>5</v>
      </c>
      <c r="B6" s="3">
        <v>281.46091999999999</v>
      </c>
      <c r="C6" s="3">
        <v>625.98017000000004</v>
      </c>
      <c r="D6" s="3">
        <v>767.29878000000008</v>
      </c>
      <c r="E6" s="3">
        <v>449.36700999999999</v>
      </c>
      <c r="F6" s="3">
        <v>511.72211999999996</v>
      </c>
      <c r="J6">
        <v>55.629509315866002</v>
      </c>
      <c r="K6">
        <v>45.093453139530482</v>
      </c>
      <c r="L6">
        <v>27.230235401417552</v>
      </c>
      <c r="M6">
        <v>27.849109999999992</v>
      </c>
      <c r="N6">
        <v>26.766639999999999</v>
      </c>
    </row>
    <row r="7" spans="1:14">
      <c r="A7">
        <v>6</v>
      </c>
      <c r="B7" s="3">
        <v>382.88213999999999</v>
      </c>
      <c r="C7" s="3">
        <v>993.92444999999998</v>
      </c>
      <c r="D7" s="3">
        <v>897.68380000000002</v>
      </c>
      <c r="E7" s="3">
        <v>595.40818999999999</v>
      </c>
      <c r="F7" s="3">
        <v>587.61703999999997</v>
      </c>
      <c r="J7">
        <v>57.018242378718554</v>
      </c>
      <c r="K7">
        <v>32.14576954414045</v>
      </c>
      <c r="L7">
        <v>26.921117158040207</v>
      </c>
      <c r="M7">
        <v>25.333559999999995</v>
      </c>
      <c r="N7">
        <v>22.3</v>
      </c>
    </row>
    <row r="8" spans="1:14">
      <c r="A8">
        <v>7</v>
      </c>
      <c r="B8" s="3">
        <v>483.59131000000002</v>
      </c>
      <c r="C8" s="3">
        <v>1129.3202700000002</v>
      </c>
      <c r="D8" s="3">
        <v>1031.0321899999999</v>
      </c>
      <c r="E8" s="3">
        <v>758.6887999999999</v>
      </c>
      <c r="F8" s="4">
        <v>716.61896000000002</v>
      </c>
      <c r="J8">
        <v>53.71683995036642</v>
      </c>
      <c r="K8">
        <v>21.882367315783085</v>
      </c>
      <c r="L8">
        <v>27.362377490375991</v>
      </c>
      <c r="M8">
        <v>23.076619999999995</v>
      </c>
    </row>
    <row r="9" spans="1:14">
      <c r="A9">
        <v>8</v>
      </c>
      <c r="B9" s="3">
        <v>576.32835999999998</v>
      </c>
      <c r="C9" s="3">
        <v>1420.5126400000001</v>
      </c>
      <c r="D9" s="3">
        <v>1233.4116999999999</v>
      </c>
      <c r="E9" s="3">
        <v>790.74392999999998</v>
      </c>
      <c r="F9" s="4">
        <v>889.32520999999997</v>
      </c>
      <c r="H9">
        <v>136.11698999999999</v>
      </c>
      <c r="J9">
        <v>51.096843000127251</v>
      </c>
      <c r="K9">
        <v>20.138832119128665</v>
      </c>
      <c r="L9">
        <v>28.200000000000003</v>
      </c>
      <c r="M9">
        <v>27.900069999999996</v>
      </c>
    </row>
    <row r="10" spans="1:14">
      <c r="A10">
        <v>9</v>
      </c>
      <c r="B10" s="3">
        <v>670.21160999999995</v>
      </c>
      <c r="C10" s="3">
        <v>1729.5370700000001</v>
      </c>
      <c r="D10" s="3">
        <v>1330.3843400000001</v>
      </c>
      <c r="E10" s="3">
        <v>887.98018000000002</v>
      </c>
      <c r="F10" s="4">
        <v>1025.4422</v>
      </c>
      <c r="H10">
        <f>+Table13[[#This Row],[2025]]/Table13[[#This Row],[2024]]*100-100</f>
        <v>15.480302724774759</v>
      </c>
      <c r="J10">
        <v>53.89837154900539</v>
      </c>
      <c r="K10">
        <v>18.308922610135483</v>
      </c>
      <c r="L10">
        <v>25</v>
      </c>
      <c r="M10">
        <v>30.411980000000003</v>
      </c>
    </row>
    <row r="11" spans="1:14">
      <c r="A11">
        <v>10</v>
      </c>
      <c r="B11" s="3">
        <v>742.98814999999991</v>
      </c>
      <c r="C11" s="3">
        <v>2056.46036</v>
      </c>
      <c r="D11" s="3">
        <v>1455.76837</v>
      </c>
      <c r="E11" s="3">
        <v>1047.9971500000001</v>
      </c>
      <c r="F11" s="4">
        <v>1147.5583999999999</v>
      </c>
      <c r="H11">
        <f>+Table13[[#This Row],[2025]]/Table13[[#This Row],[2024]]*100-100</f>
        <v>9.5001451101274199</v>
      </c>
      <c r="J11">
        <v>50.535351006200415</v>
      </c>
      <c r="K11">
        <v>22.976855309843927</v>
      </c>
      <c r="L11">
        <v>27.142439825294897</v>
      </c>
      <c r="M11">
        <v>28.754870000000004</v>
      </c>
    </row>
    <row r="12" spans="1:14">
      <c r="A12">
        <v>11</v>
      </c>
      <c r="B12" s="3">
        <v>806.02741999999989</v>
      </c>
      <c r="C12" s="3">
        <v>2281.78172</v>
      </c>
      <c r="D12" s="3">
        <v>1495.3931100000002</v>
      </c>
      <c r="E12" s="3">
        <v>1124.4194200000002</v>
      </c>
      <c r="F12" s="4">
        <v>1324.4709399999999</v>
      </c>
      <c r="H12">
        <f>+Table13[[#This Row],[2025]]/Table13[[#This Row],[2024]]*100-100</f>
        <v>17.791539032650277</v>
      </c>
      <c r="J12">
        <v>50.968057827738448</v>
      </c>
      <c r="K12">
        <v>26.411756847778406</v>
      </c>
      <c r="L12">
        <v>28.3</v>
      </c>
      <c r="M12">
        <v>23.174700000000001</v>
      </c>
    </row>
    <row r="13" spans="1:14">
      <c r="A13">
        <v>12</v>
      </c>
      <c r="B13" s="3">
        <v>883.31452999999988</v>
      </c>
      <c r="C13" s="3">
        <v>2583.6442099999999</v>
      </c>
      <c r="D13" s="3">
        <v>1654.7126600000001</v>
      </c>
      <c r="E13" s="3">
        <v>1509.3741000000002</v>
      </c>
      <c r="F13" s="4">
        <v>1639.52883</v>
      </c>
      <c r="H13">
        <f>+Table13[[#This Row],[2025]]/Table13[[#This Row],[2024]]*100-100</f>
        <v>8.6230928435832936</v>
      </c>
      <c r="J13">
        <v>60.172275821815788</v>
      </c>
      <c r="K13">
        <v>29.414808105724205</v>
      </c>
      <c r="L13">
        <v>38.200000000000003</v>
      </c>
      <c r="M13">
        <v>39.19001999999999</v>
      </c>
    </row>
    <row r="14" spans="1:14">
      <c r="C14" s="4"/>
    </row>
    <row r="15" spans="1:14">
      <c r="C15" s="4"/>
    </row>
    <row r="16" spans="1:14">
      <c r="C16" s="4"/>
    </row>
    <row r="17" spans="3:3">
      <c r="C17" s="4"/>
    </row>
    <row r="18" spans="3:3">
      <c r="C18" s="4"/>
    </row>
    <row r="19" spans="3:3">
      <c r="C19" s="4"/>
    </row>
    <row r="20" spans="3:3">
      <c r="C20" s="4"/>
    </row>
    <row r="21" spans="3:3">
      <c r="C21" s="4"/>
    </row>
    <row r="22" spans="3:3">
      <c r="C22" s="4"/>
    </row>
    <row r="23" spans="3:3">
      <c r="C23" s="4"/>
    </row>
    <row r="24" spans="3:3">
      <c r="C24" s="4"/>
    </row>
    <row r="25" spans="3:3">
      <c r="C25" s="4"/>
    </row>
    <row r="26" spans="3:3">
      <c r="C26" s="4"/>
    </row>
    <row r="27" spans="3:3">
      <c r="C27" s="4"/>
    </row>
    <row r="28" spans="3:3">
      <c r="C28" s="4"/>
    </row>
    <row r="29" spans="3:3">
      <c r="C29" s="4"/>
    </row>
    <row r="30" spans="3:3">
      <c r="C30" s="4"/>
    </row>
    <row r="31" spans="3:3">
      <c r="C31" s="4"/>
    </row>
    <row r="32" spans="3:3">
      <c r="C32" s="4"/>
    </row>
    <row r="33" spans="3:3">
      <c r="C33" s="4"/>
    </row>
    <row r="34" spans="3:3">
      <c r="C34" s="4"/>
    </row>
    <row r="35" spans="3:3">
      <c r="C35" s="4"/>
    </row>
    <row r="36" spans="3:3">
      <c r="C36" s="4"/>
    </row>
    <row r="37" spans="3:3">
      <c r="C37" s="4"/>
    </row>
  </sheetData>
  <phoneticPr fontId="1" type="noConversion"/>
  <pageMargins left="0.7" right="0.7" top="0.75" bottom="0.75" header="0.3" footer="0.3"/>
  <pageSetup paperSize="9" orientation="portrait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Babken Pashinyan</dc:creator>
  <cp:lastModifiedBy>Armen Zakaryan</cp:lastModifiedBy>
  <dcterms:created xsi:type="dcterms:W3CDTF">2023-03-29T14:40:47Z</dcterms:created>
  <dcterms:modified xsi:type="dcterms:W3CDTF">2026-03-19T20:51:17Z</dcterms:modified>
</cp:coreProperties>
</file>